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L_CF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7" customWidth="1" min="4" max="4"/>
    <col width="5" customWidth="1" min="5" max="5"/>
    <col width="11" customWidth="1" min="6" max="6"/>
    <col width="6" customWidth="1" min="7" max="7"/>
    <col width="6" customWidth="1" min="8" max="8"/>
    <col width="11" customWidth="1" min="9" max="9"/>
    <col width="8" customWidth="1" min="10" max="10"/>
    <col width="12" customWidth="1" min="11" max="11"/>
    <col width="12" customWidth="1" min="12" max="12"/>
  </cols>
  <sheetData>
    <row r="1">
      <c r="A1" s="1" t="inlineStr"/>
      <c r="B1" s="1" t="inlineStr">
        <is>
          <t>Fref</t>
        </is>
      </c>
      <c r="C1" s="1" t="inlineStr">
        <is>
          <t>NI</t>
        </is>
      </c>
      <c r="D1" s="1" t="inlineStr">
        <is>
          <t>NF</t>
        </is>
      </c>
      <c r="E1" s="1" t="inlineStr">
        <is>
          <t>M</t>
        </is>
      </c>
      <c r="F1" s="1" t="inlineStr">
        <is>
          <t>Fvco(MHz)</t>
        </is>
      </c>
      <c r="G1" s="1" t="inlineStr">
        <is>
          <t>Qn_0</t>
        </is>
      </c>
      <c r="H1" s="1" t="inlineStr">
        <is>
          <t>Qn_1</t>
        </is>
      </c>
      <c r="I1" s="1" t="inlineStr">
        <is>
          <t>Fclk(MHz)</t>
        </is>
      </c>
      <c r="J1" s="1" t="inlineStr">
        <is>
          <t>Target</t>
        </is>
      </c>
      <c r="K1" s="1" t="inlineStr">
        <is>
          <t>frac[23:0]</t>
        </is>
      </c>
      <c r="L1" s="1" t="inlineStr">
        <is>
          <t>dacpd/dsmpd</t>
        </is>
      </c>
    </row>
    <row r="2">
      <c r="A2" s="2" t="inlineStr">
        <is>
          <t>PLL_SYS</t>
        </is>
      </c>
      <c r="B2" s="3" t="n">
        <v>24</v>
      </c>
      <c r="C2" s="4" t="n">
        <v>116</v>
      </c>
      <c r="D2" s="4" t="n">
        <v>0.625</v>
      </c>
      <c r="E2" s="4" t="n">
        <v>1</v>
      </c>
      <c r="F2" s="4">
        <f>B2*(C2+D2)/E2</f>
        <v/>
      </c>
      <c r="G2" s="3" t="n">
        <v>4</v>
      </c>
      <c r="H2" s="3" t="n">
        <v>0</v>
      </c>
      <c r="I2" s="5">
        <f>$F$2/(G2+1)/(H2+1)</f>
        <v/>
      </c>
      <c r="J2" s="3" t="n">
        <v>550</v>
      </c>
      <c r="K2" s="3" t="inlineStr">
        <is>
          <t>24'hA00000</t>
        </is>
      </c>
      <c r="L2" s="3" t="inlineStr">
        <is>
          <t>0/0 (frac)</t>
        </is>
      </c>
    </row>
    <row r="3">
      <c r="A3" s="3" t="n"/>
      <c r="B3" s="3" t="n"/>
      <c r="C3" s="3" t="n"/>
      <c r="D3" s="3" t="n"/>
      <c r="E3" s="3" t="n"/>
      <c r="F3" s="3" t="n"/>
      <c r="G3" s="3" t="n">
        <v>6</v>
      </c>
      <c r="H3" s="3" t="n">
        <v>0</v>
      </c>
      <c r="I3" s="5">
        <f>$F$2/(G3+1)/(H3+1)</f>
        <v/>
      </c>
      <c r="J3" s="3" t="n">
        <v>400</v>
      </c>
      <c r="K3" s="3" t="n"/>
      <c r="L3" s="3" t="n"/>
    </row>
    <row r="4">
      <c r="A4" s="2" t="inlineStr">
        <is>
          <t>PLL_A45</t>
        </is>
      </c>
      <c r="B4" s="3" t="n">
        <v>24</v>
      </c>
      <c r="C4" s="4" t="n">
        <v>100</v>
      </c>
      <c r="D4" s="4" t="n">
        <v>0</v>
      </c>
      <c r="E4" s="4" t="n">
        <v>1</v>
      </c>
      <c r="F4" s="4">
        <f>B4*(C4+D4)/E4</f>
        <v/>
      </c>
      <c r="G4" s="3" t="n">
        <v>3</v>
      </c>
      <c r="H4" s="3" t="n">
        <v>0</v>
      </c>
      <c r="I4" s="5">
        <f>$F$4/(G4+1)/(H4+1)</f>
        <v/>
      </c>
      <c r="J4" s="3" t="n">
        <v>600</v>
      </c>
      <c r="K4" s="3" t="inlineStr">
        <is>
          <t>24'h000000</t>
        </is>
      </c>
      <c r="L4" s="3" t="inlineStr">
        <is>
          <t>1/1 (int)</t>
        </is>
      </c>
    </row>
    <row r="5">
      <c r="A5" s="3" t="n"/>
      <c r="B5" s="3" t="n"/>
      <c r="C5" s="3" t="n"/>
      <c r="D5" s="3" t="n"/>
      <c r="E5" s="3" t="n"/>
      <c r="F5" s="3" t="n"/>
      <c r="G5" s="3" t="n">
        <v>5</v>
      </c>
      <c r="H5" s="3" t="n">
        <v>0</v>
      </c>
      <c r="I5" s="5">
        <f>$F$4/(G5+1)/(H5+1)</f>
        <v/>
      </c>
      <c r="J5" s="3" t="n">
        <v>400</v>
      </c>
      <c r="K5" s="3" t="n"/>
      <c r="L5" s="3" t="n"/>
    </row>
    <row r="7">
      <c r="A7" t="inlineStr">
        <is>
          <t>注: Qn_0/Qn_1 填寄存器编码 (分频值-1); Fvco=Fref*(NI+NF)/M; Fclk=Fvco/(Qn_0+1)/(Qn_1+1); frac=NF*2^24</t>
        </is>
      </c>
    </row>
  </sheetData>
  <mergeCells count="16">
    <mergeCell ref="B4:B5"/>
    <mergeCell ref="C4:C5"/>
    <mergeCell ref="A4:A5"/>
    <mergeCell ref="F4:F5"/>
    <mergeCell ref="D4:D5"/>
    <mergeCell ref="E4:E5"/>
    <mergeCell ref="K4:K5"/>
    <mergeCell ref="D2:D3"/>
    <mergeCell ref="L4:L5"/>
    <mergeCell ref="B2:B3"/>
    <mergeCell ref="A2:A3"/>
    <mergeCell ref="C2:C3"/>
    <mergeCell ref="F2:F3"/>
    <mergeCell ref="E2:E3"/>
    <mergeCell ref="K2:K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2026-10-14T08:46:16Z</dcterms:created>
  <dcterms:modified xmlns:dcterms="http://purl.org/dc/terms/" xmlns:xsi="http://www.w3.org/2001/XMLSchema-instance" xsi:type="dcterms:W3CDTF">2026-10-14T08:46:16Z</dcterms:modified>
</cp:coreProperties>
</file>